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k/Desktop/"/>
    </mc:Choice>
  </mc:AlternateContent>
  <xr:revisionPtr revIDLastSave="0" documentId="13_ncr:1_{21472067-4237-9F44-AECC-5B6A9A08D34B}" xr6:coauthVersionLast="47" xr6:coauthVersionMax="47" xr10:uidLastSave="{00000000-0000-0000-0000-000000000000}"/>
  <bookViews>
    <workbookView xWindow="0" yWindow="660" windowWidth="30240" windowHeight="17580" activeTab="3" xr2:uid="{00000000-000D-0000-FFFF-FFFF00000000}"/>
  </bookViews>
  <sheets>
    <sheet name="Assumptions" sheetId="1" r:id="rId1"/>
    <sheet name="DCF Model" sheetId="2" r:id="rId2"/>
    <sheet name="Sensitivity" sheetId="3" r:id="rId3"/>
    <sheet name="Valuation Brid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C34" i="2"/>
  <c r="G26" i="2"/>
  <c r="F26" i="2"/>
  <c r="E26" i="2"/>
  <c r="D26" i="2"/>
  <c r="C26" i="2"/>
  <c r="B26" i="2"/>
  <c r="G24" i="2"/>
  <c r="F24" i="2"/>
  <c r="E24" i="2"/>
  <c r="D24" i="2"/>
  <c r="C24" i="2"/>
  <c r="G22" i="2"/>
  <c r="F22" i="2"/>
  <c r="E22" i="2"/>
  <c r="D22" i="2"/>
  <c r="C22" i="2"/>
  <c r="B22" i="2"/>
  <c r="B18" i="2"/>
  <c r="G17" i="2"/>
  <c r="F17" i="2"/>
  <c r="E17" i="2"/>
  <c r="D17" i="2"/>
  <c r="C17" i="2"/>
  <c r="B17" i="2"/>
  <c r="G15" i="2"/>
  <c r="F15" i="2"/>
  <c r="E15" i="2"/>
  <c r="D15" i="2"/>
  <c r="C15" i="2"/>
  <c r="B15" i="2"/>
  <c r="B13" i="2"/>
  <c r="B16" i="2" s="1"/>
  <c r="B20" i="2" s="1"/>
  <c r="G9" i="2"/>
  <c r="F9" i="2"/>
  <c r="E9" i="2"/>
  <c r="D9" i="2"/>
  <c r="B9" i="2"/>
  <c r="C6" i="2"/>
  <c r="C10" i="2" s="1"/>
  <c r="C13" i="2" s="1"/>
  <c r="C16" i="2" s="1"/>
  <c r="G5" i="2"/>
  <c r="F5" i="2"/>
  <c r="E5" i="2"/>
  <c r="D5" i="2"/>
  <c r="C5" i="2"/>
  <c r="E10" i="1"/>
  <c r="E9" i="1"/>
  <c r="E8" i="1"/>
  <c r="E7" i="1"/>
  <c r="E6" i="1"/>
  <c r="E5" i="1"/>
  <c r="C18" i="2" l="1"/>
  <c r="C20" i="2" s="1"/>
  <c r="C25" i="2" s="1"/>
  <c r="D6" i="2"/>
  <c r="D18" i="2" l="1"/>
  <c r="D10" i="2"/>
  <c r="D13" i="2" s="1"/>
  <c r="D16" i="2" s="1"/>
  <c r="E6" i="2"/>
  <c r="E10" i="2" l="1"/>
  <c r="E13" i="2" s="1"/>
  <c r="E16" i="2" s="1"/>
  <c r="E20" i="2" s="1"/>
  <c r="E25" i="2" s="1"/>
  <c r="E18" i="2"/>
  <c r="F6" i="2"/>
  <c r="D20" i="2"/>
  <c r="D25" i="2" s="1"/>
  <c r="F18" i="2" l="1"/>
  <c r="F10" i="2"/>
  <c r="F13" i="2" s="1"/>
  <c r="F16" i="2" s="1"/>
  <c r="F20" i="2" s="1"/>
  <c r="F25" i="2" s="1"/>
  <c r="G6" i="2"/>
  <c r="G18" i="2" l="1"/>
  <c r="G10" i="2"/>
  <c r="G13" i="2" s="1"/>
  <c r="G16" i="2" s="1"/>
  <c r="G20" i="2" s="1"/>
  <c r="G25" i="2" l="1"/>
  <c r="C31" i="2" s="1"/>
  <c r="G27" i="2"/>
  <c r="G28" i="2" s="1"/>
  <c r="C32" i="2" s="1"/>
  <c r="C33" i="2" l="1"/>
  <c r="C35" i="2" s="1"/>
  <c r="G38" i="2" s="1"/>
  <c r="G40" i="2" s="1"/>
</calcChain>
</file>

<file path=xl/sharedStrings.xml><?xml version="1.0" encoding="utf-8"?>
<sst xmlns="http://schemas.openxmlformats.org/spreadsheetml/2006/main" count="145" uniqueCount="128">
  <si>
    <t>TCS – DCF VALUATION MODEL  |  Q2 FY2026 Data Sheet</t>
  </si>
  <si>
    <t xml:space="preserve">  HISTORICAL P&amp;L  (IFRS, INR Mn)</t>
  </si>
  <si>
    <t>Metric</t>
  </si>
  <si>
    <t>FY23</t>
  </si>
  <si>
    <t>FY24</t>
  </si>
  <si>
    <t>FY25</t>
  </si>
  <si>
    <t>FY25 CAGR*</t>
  </si>
  <si>
    <t>Revenue (INR Mn)</t>
  </si>
  <si>
    <t>Operating Income (EBIT)</t>
  </si>
  <si>
    <t>EBITDA</t>
  </si>
  <si>
    <t>Net Profit</t>
  </si>
  <si>
    <t>Depreciation &amp; Amort.</t>
  </si>
  <si>
    <t>Total Employees</t>
  </si>
  <si>
    <t>* CAGR = 2-year compound annual growth rate (FY23→FY25)</t>
  </si>
  <si>
    <t xml:space="preserve">  DCF KEY ASSUMPTIONS  (Blue = Input Cells)</t>
  </si>
  <si>
    <t>Assumption</t>
  </si>
  <si>
    <t>Value</t>
  </si>
  <si>
    <t>Notes</t>
  </si>
  <si>
    <t>Revenue Growth – Yr 1 (FY26E)</t>
  </si>
  <si>
    <t>Moderating growth; CC guidance ~5%</t>
  </si>
  <si>
    <t>Revenue Growth – Yr 2 (FY27E)</t>
  </si>
  <si>
    <t>Recovery as AI spend accelerates</t>
  </si>
  <si>
    <t>Revenue Growth – Yr 3 (FY28E)</t>
  </si>
  <si>
    <t>Normalised growth trajectory</t>
  </si>
  <si>
    <t>Revenue Growth – Yr 4 (FY29E)</t>
  </si>
  <si>
    <t>Sustained double-digit expansion</t>
  </si>
  <si>
    <t>Revenue Growth – Yr 5 (FY30E)</t>
  </si>
  <si>
    <t>Steady state entry</t>
  </si>
  <si>
    <t>EBITDA Margin (avg, fy26-30)</t>
  </si>
  <si>
    <t>Historical range 24-27%; conserv. 26%</t>
  </si>
  <si>
    <t>Capex as % Revenue</t>
  </si>
  <si>
    <t>~2% historically</t>
  </si>
  <si>
    <t>Tax Rate (effective)</t>
  </si>
  <si>
    <t>~25-26% effective rate</t>
  </si>
  <si>
    <t>Terminal Growth Rate (g)</t>
  </si>
  <si>
    <t>Long-run India IT nominal growth</t>
  </si>
  <si>
    <t>WACC</t>
  </si>
  <si>
    <t>Cost of equity ~11%; negligible debt</t>
  </si>
  <si>
    <t>Shares Outstanding (Mn)</t>
  </si>
  <si>
    <t>As per latest filing</t>
  </si>
  <si>
    <t>Net Cash / (Debt) (INR Mn)</t>
  </si>
  <si>
    <t>Cash + investments less debt</t>
  </si>
  <si>
    <t>TCS – DISCOUNTED CASH FLOW (DCF) VALUATION</t>
  </si>
  <si>
    <t>5-Year FCF Projection  |  WACC Discount  |  Terminal Value  |  Intrinsic Value per Share</t>
  </si>
  <si>
    <t>Line Item</t>
  </si>
  <si>
    <t>FY25A</t>
  </si>
  <si>
    <t>FY26E</t>
  </si>
  <si>
    <t>FY27E</t>
  </si>
  <si>
    <t>FY28E</t>
  </si>
  <si>
    <t>FY29E</t>
  </si>
  <si>
    <t>FY30E</t>
  </si>
  <si>
    <t xml:space="preserve">  A. REVENUE PROJECTION  (INR Mn)</t>
  </si>
  <si>
    <t xml:space="preserve">  Revenue Growth Rate (YoY)</t>
  </si>
  <si>
    <t xml:space="preserve">  Revenue</t>
  </si>
  <si>
    <t xml:space="preserve">  (FY25A revenue sourced from Q2 FY26 data sheet)</t>
  </si>
  <si>
    <t xml:space="preserve">  B. EBITDA  (INR Mn)</t>
  </si>
  <si>
    <t xml:space="preserve">  EBITDA Margin (%)</t>
  </si>
  <si>
    <t xml:space="preserve">  EBITDA</t>
  </si>
  <si>
    <t xml:space="preserve">  C. DEPRECIATION &amp; AMORTISATION</t>
  </si>
  <si>
    <t xml:space="preserve">  D&amp;A (INR Mn, est. flat ~40-52Bn)</t>
  </si>
  <si>
    <t xml:space="preserve">  EBIT (EBITDA – D&amp;A)</t>
  </si>
  <si>
    <t xml:space="preserve">  D. FREE CASH FLOW (FCF) COMPUTATION</t>
  </si>
  <si>
    <t xml:space="preserve">  Effective Tax Rate</t>
  </si>
  <si>
    <t xml:space="preserve">  NOPAT  (EBIT × (1 – Tax Rate))</t>
  </si>
  <si>
    <t xml:space="preserve">  Add: Depreciation &amp; Amortisation</t>
  </si>
  <si>
    <t xml:space="preserve">  Less: Capex (% of Revenue)</t>
  </si>
  <si>
    <t xml:space="preserve">  Less: Change in Working Capital (est.)</t>
  </si>
  <si>
    <t xml:space="preserve">  FREE CASH FLOW (FCF)</t>
  </si>
  <si>
    <t xml:space="preserve">  E. DISCOUNTING  &amp;  TERMINAL VALUE</t>
  </si>
  <si>
    <t xml:space="preserve">  WACC</t>
  </si>
  <si>
    <t xml:space="preserve">  Year (t)</t>
  </si>
  <si>
    <t xml:space="preserve">  Discount Factor  [1/(1+WACC)^t]</t>
  </si>
  <si>
    <t>—</t>
  </si>
  <si>
    <t xml:space="preserve">  PV of FCF</t>
  </si>
  <si>
    <t xml:space="preserve">  Terminal Growth Rate (g)</t>
  </si>
  <si>
    <t xml:space="preserve">  Terminal Value  [FCF₅ × (1+g) / (WACC − g)]</t>
  </si>
  <si>
    <t xml:space="preserve">  PV of Terminal Value</t>
  </si>
  <si>
    <t xml:space="preserve">  F. INTRINSIC VALUE SUMMARY</t>
  </si>
  <si>
    <t xml:space="preserve">  Sum of PV(FCFs) – FY26 to FY30</t>
  </si>
  <si>
    <t xml:space="preserve">  Enterprise Value (EV)</t>
  </si>
  <si>
    <t xml:space="preserve">  Add: Net Cash &amp; Investments (INR Mn)</t>
  </si>
  <si>
    <t xml:space="preserve">  Equity Value</t>
  </si>
  <si>
    <t xml:space="preserve">  Shares Outstanding (Mn)</t>
  </si>
  <si>
    <t xml:space="preserve">  ➤  DCF INTRINSIC VALUE PER SHARE  (INR)</t>
  </si>
  <si>
    <t xml:space="preserve">  Current Market Price (INR) — update as needed</t>
  </si>
  <si>
    <t xml:space="preserve">  Upside / (Downside)  =  (DCF Price − Market) / Market</t>
  </si>
  <si>
    <t>SENSITIVITY ANALYSIS  –  DCF Intrinsic Value per Share (INR)</t>
  </si>
  <si>
    <t>WACC  ↓ / TGR  →</t>
  </si>
  <si>
    <t>3%</t>
  </si>
  <si>
    <t>4%</t>
  </si>
  <si>
    <t>5%</t>
  </si>
  <si>
    <t>6%</t>
  </si>
  <si>
    <t>7%</t>
  </si>
  <si>
    <t>8.5%</t>
  </si>
  <si>
    <t>9.5%</t>
  </si>
  <si>
    <t>10.5%</t>
  </si>
  <si>
    <t>11.5%</t>
  </si>
  <si>
    <t>12.5%</t>
  </si>
  <si>
    <t>Note: Sensitivity uses simplified FCF base. See DCF Model sheet for full computation.</t>
  </si>
  <si>
    <t>VALUATION BRIDGE &amp; EQUITY RESEARCH SUMMARY</t>
  </si>
  <si>
    <t>COMPONENT</t>
  </si>
  <si>
    <t>VALUE (INR Mn)</t>
  </si>
  <si>
    <t>NOTES</t>
  </si>
  <si>
    <t>PV of FCFs (FY26E–FY30E)</t>
  </si>
  <si>
    <t>→ see DCF Model</t>
  </si>
  <si>
    <t>5-year explicit forecast period</t>
  </si>
  <si>
    <t>PV of Terminal Value</t>
  </si>
  <si>
    <t>Gordon Growth Model; g=5%, WACC=10.5%</t>
  </si>
  <si>
    <t>→ H column, DCF</t>
  </si>
  <si>
    <t>Sum of above</t>
  </si>
  <si>
    <t>+ Net Cash &amp; Investments</t>
  </si>
  <si>
    <t>~450,000 Mn</t>
  </si>
  <si>
    <t>Cash, bank deposits, investments (FY25)</t>
  </si>
  <si>
    <t>÷ Shares Outstanding</t>
  </si>
  <si>
    <t>3,618 Mn</t>
  </si>
  <si>
    <t>→ G column, DCF</t>
  </si>
  <si>
    <t>Base case</t>
  </si>
  <si>
    <t>Market Price (CMP)</t>
  </si>
  <si>
    <t>~₹3,280</t>
  </si>
  <si>
    <t>Approximate, April 2026</t>
  </si>
  <si>
    <t>Implied Upside / (Downside)</t>
  </si>
  <si>
    <t>(DCF – CMP) / CMP</t>
  </si>
  <si>
    <t>IMPORTANT DISCLAIMER</t>
  </si>
  <si>
    <t>This model is for educational/analytical purposes only. It is not investment advice. DCF valuations are highly sensitive to assumptions. Always conduct independent research and consult a SEBI-registered financial advisor before investing.</t>
  </si>
  <si>
    <t>Key Assumptions &amp; Historical Financials  (INR Mn)</t>
  </si>
  <si>
    <t>Enterprise Value (EV)</t>
  </si>
  <si>
    <t>Equity Value</t>
  </si>
  <si>
    <t>DCF Intrinsic Value /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</si>
</sst>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"/>
    <numFmt numFmtId="166" formatCode="0.0000"/>
    <numFmt numFmtId="167" formatCode="\₹#,##0.00"/>
    <numFmt numFmtId="168" formatCode="\₹#,##0"/>
    <numFmt numFmtId="169" formatCode="0.0%;\(0.0%\);&quot;-&quot;"/>
  </numFmts>
  <fonts count="2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7F8C8D"/>
      <name val="Calibri"/>
      <family val="2"/>
    </font>
    <font>
      <b/>
      <sz val="11"/>
      <color rgb="FF0000FF"/>
      <name val="Calibri"/>
      <family val="2"/>
    </font>
    <font>
      <b/>
      <sz val="10"/>
      <color rgb="FFFFFFFF"/>
      <name val="Calibri"/>
      <family val="2"/>
    </font>
    <font>
      <b/>
      <sz val="11"/>
      <color rgb="FF1A252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2"/>
      <color rgb="FF1A5276"/>
      <name val="Calibri"/>
      <family val="2"/>
    </font>
    <font>
      <b/>
      <sz val="14"/>
      <color rgb="FFFFFFFF"/>
      <name val="Calibri"/>
      <family val="2"/>
    </font>
    <font>
      <b/>
      <sz val="16"/>
      <color rgb="FFF1C40F"/>
      <name val="Calibri"/>
      <family val="2"/>
    </font>
    <font>
      <sz val="12"/>
      <color rgb="FFFFFFFF"/>
      <name val="Calibri"/>
      <family val="2"/>
    </font>
    <font>
      <b/>
      <sz val="14"/>
      <color rgb="FF2ECC7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C0392B"/>
      <name val="Calibri"/>
      <family val="2"/>
    </font>
    <font>
      <sz val="10"/>
      <color theme="0"/>
      <name val="Calibri (Body)"/>
    </font>
    <font>
      <sz val="11"/>
      <color theme="0"/>
      <name val="Calibri (Body)"/>
    </font>
    <font>
      <sz val="10"/>
      <color theme="1"/>
      <name val="Calibri (Body)"/>
    </font>
    <font>
      <sz val="11"/>
      <color theme="1"/>
      <name val="Calibri (Body)"/>
    </font>
    <font>
      <b/>
      <sz val="14"/>
      <color theme="0"/>
      <name val="Calibri (Body)"/>
    </font>
    <font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BDC3C7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DFEFE"/>
      </patternFill>
    </fill>
    <fill>
      <patternFill patternType="solid">
        <fgColor rgb="FF1A5276"/>
      </patternFill>
    </fill>
    <fill>
      <patternFill patternType="solid">
        <fgColor rgb="FF2E4057"/>
      </patternFill>
    </fill>
    <fill>
      <patternFill patternType="solid">
        <fgColor rgb="FFEBF5FB"/>
      </patternFill>
    </fill>
    <fill>
      <patternFill patternType="solid">
        <fgColor rgb="FFE74C3C"/>
      </patternFill>
    </fill>
    <fill>
      <patternFill patternType="solid">
        <fgColor rgb="FFF9E79F"/>
      </patternFill>
    </fill>
    <fill>
      <patternFill patternType="solid">
        <fgColor rgb="FF196F3D"/>
      </patternFill>
    </fill>
    <fill>
      <patternFill patternType="solid">
        <fgColor rgb="FFFD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right" vertical="center"/>
    </xf>
    <xf numFmtId="165" fontId="0" fillId="6" borderId="0" xfId="0" applyNumberForma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5" fontId="5" fillId="6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4" fontId="9" fillId="7" borderId="0" xfId="0" applyNumberFormat="1" applyFont="1" applyFill="1" applyAlignment="1">
      <alignment horizontal="right" vertical="center"/>
    </xf>
    <xf numFmtId="164" fontId="10" fillId="6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49" fontId="5" fillId="6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right" vertical="center"/>
    </xf>
    <xf numFmtId="0" fontId="5" fillId="8" borderId="0" xfId="0" applyFont="1" applyFill="1" applyAlignment="1">
      <alignment horizontal="left" vertical="center"/>
    </xf>
    <xf numFmtId="164" fontId="5" fillId="8" borderId="0" xfId="0" applyNumberFormat="1" applyFont="1" applyFill="1" applyAlignment="1">
      <alignment horizontal="center" vertical="center" wrapText="1"/>
    </xf>
    <xf numFmtId="164" fontId="5" fillId="8" borderId="0" xfId="0" applyNumberFormat="1" applyFont="1" applyFill="1" applyAlignment="1">
      <alignment horizontal="right" vertical="center"/>
    </xf>
    <xf numFmtId="49" fontId="11" fillId="5" borderId="0" xfId="0" applyNumberFormat="1" applyFont="1" applyFill="1" applyAlignment="1">
      <alignment horizontal="center" vertical="center" wrapText="1"/>
    </xf>
    <xf numFmtId="164" fontId="11" fillId="5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49" fontId="11" fillId="6" borderId="0" xfId="0" applyNumberFormat="1" applyFont="1" applyFill="1" applyAlignment="1">
      <alignment horizontal="center" vertical="center" wrapText="1"/>
    </xf>
    <xf numFmtId="164" fontId="11" fillId="6" borderId="0" xfId="0" applyNumberFormat="1" applyFont="1" applyFill="1" applyAlignment="1">
      <alignment horizontal="right" vertical="center"/>
    </xf>
    <xf numFmtId="164" fontId="12" fillId="7" borderId="0" xfId="0" applyNumberFormat="1" applyFont="1" applyFill="1" applyAlignment="1">
      <alignment horizontal="right" vertical="center"/>
    </xf>
    <xf numFmtId="164" fontId="0" fillId="5" borderId="0" xfId="0" applyNumberFormat="1" applyFill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164" fontId="12" fillId="8" borderId="0" xfId="0" applyNumberFormat="1" applyFont="1" applyFill="1" applyAlignment="1">
      <alignment horizontal="right" vertical="center"/>
    </xf>
    <xf numFmtId="3" fontId="0" fillId="5" borderId="0" xfId="0" applyNumberFormat="1" applyFill="1" applyAlignment="1">
      <alignment horizontal="right" vertical="center"/>
    </xf>
    <xf numFmtId="0" fontId="3" fillId="11" borderId="0" xfId="0" applyFont="1" applyFill="1" applyAlignment="1">
      <alignment horizontal="center" vertical="center" wrapText="1"/>
    </xf>
    <xf numFmtId="168" fontId="17" fillId="12" borderId="0" xfId="0" applyNumberFormat="1" applyFont="1" applyFill="1" applyAlignment="1">
      <alignment horizontal="center" vertical="center" wrapText="1"/>
    </xf>
    <xf numFmtId="168" fontId="0" fillId="13" borderId="0" xfId="0" applyNumberFormat="1" applyFill="1" applyAlignment="1">
      <alignment horizontal="center" vertical="center" wrapText="1"/>
    </xf>
    <xf numFmtId="168" fontId="18" fillId="14" borderId="0" xfId="0" applyNumberFormat="1" applyFont="1" applyFill="1" applyAlignment="1">
      <alignment horizontal="center" vertical="center" wrapText="1"/>
    </xf>
    <xf numFmtId="169" fontId="0" fillId="5" borderId="0" xfId="0" applyNumberFormat="1" applyFill="1" applyAlignment="1">
      <alignment horizontal="right" vertical="center"/>
    </xf>
    <xf numFmtId="169" fontId="0" fillId="6" borderId="0" xfId="0" applyNumberFormat="1" applyFill="1" applyAlignment="1">
      <alignment horizontal="right" vertical="center"/>
    </xf>
    <xf numFmtId="165" fontId="7" fillId="5" borderId="0" xfId="0" applyNumberFormat="1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right" vertical="center" wrapText="1"/>
    </xf>
    <xf numFmtId="165" fontId="3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2" borderId="0" xfId="0" applyFont="1" applyFill="1" applyAlignment="1">
      <alignment horizontal="center" vertical="center" wrapText="1"/>
    </xf>
    <xf numFmtId="0" fontId="23" fillId="0" borderId="0" xfId="0" applyFont="1"/>
    <xf numFmtId="0" fontId="8" fillId="3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165" fontId="16" fillId="10" borderId="0" xfId="0" applyNumberFormat="1" applyFont="1" applyFill="1" applyAlignment="1">
      <alignment horizontal="center" vertical="center" wrapText="1"/>
    </xf>
    <xf numFmtId="167" fontId="26" fillId="10" borderId="0" xfId="0" applyNumberFormat="1" applyFont="1" applyFill="1" applyAlignment="1">
      <alignment horizontal="center" vertical="center" wrapText="1"/>
    </xf>
    <xf numFmtId="0" fontId="13" fillId="9" borderId="0" xfId="0" applyFont="1" applyFill="1" applyAlignment="1">
      <alignment horizontal="left" vertical="center"/>
    </xf>
    <xf numFmtId="167" fontId="14" fillId="9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left" vertical="top" wrapText="1"/>
    </xf>
    <xf numFmtId="0" fontId="21" fillId="1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J12" sqref="J12"/>
    </sheetView>
  </sheetViews>
  <sheetFormatPr baseColWidth="10" defaultColWidth="8.83203125" defaultRowHeight="15" x14ac:dyDescent="0.2"/>
  <cols>
    <col min="1" max="1" width="38" customWidth="1"/>
    <col min="2" max="8" width="16" customWidth="1"/>
  </cols>
  <sheetData>
    <row r="1" spans="1:8" ht="40" customHeight="1" x14ac:dyDescent="0.2">
      <c r="A1" s="62" t="s">
        <v>0</v>
      </c>
      <c r="B1" s="63"/>
      <c r="C1" s="63"/>
      <c r="D1" s="63"/>
      <c r="E1" s="63"/>
      <c r="F1" s="63"/>
      <c r="G1" s="63"/>
      <c r="H1" s="63"/>
    </row>
    <row r="2" spans="1:8" ht="20" customHeight="1" x14ac:dyDescent="0.2">
      <c r="A2" s="67" t="s">
        <v>124</v>
      </c>
      <c r="B2" s="68"/>
      <c r="C2" s="68"/>
      <c r="D2" s="68"/>
      <c r="E2" s="68"/>
      <c r="F2" s="68"/>
      <c r="G2" s="68"/>
      <c r="H2" s="68"/>
    </row>
    <row r="3" spans="1:8" ht="22" customHeight="1" x14ac:dyDescent="0.2">
      <c r="A3" s="64" t="s">
        <v>1</v>
      </c>
      <c r="B3" s="63"/>
      <c r="C3" s="63"/>
      <c r="D3" s="63"/>
      <c r="E3" s="63"/>
      <c r="F3" s="63"/>
      <c r="G3" s="63"/>
      <c r="H3" s="63"/>
    </row>
    <row r="4" spans="1:8" ht="18" customHeight="1" x14ac:dyDescent="0.2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8" x14ac:dyDescent="0.2">
      <c r="A5" s="4" t="s">
        <v>7</v>
      </c>
      <c r="B5" s="5">
        <v>2254580</v>
      </c>
      <c r="C5" s="5">
        <v>2408930</v>
      </c>
      <c r="D5" s="5">
        <v>2553240</v>
      </c>
      <c r="E5" s="41">
        <f t="shared" ref="E5:E10" si="0">IFERROR((D5/B5)^(1/2)-1,0)</f>
        <v>6.4174859474087631E-2</v>
      </c>
    </row>
    <row r="6" spans="1:8" x14ac:dyDescent="0.2">
      <c r="A6" s="6" t="s">
        <v>8</v>
      </c>
      <c r="B6" s="7">
        <v>621650</v>
      </c>
      <c r="C6" s="7">
        <v>593110</v>
      </c>
      <c r="D6" s="7">
        <v>621650</v>
      </c>
      <c r="E6" s="42">
        <f t="shared" si="0"/>
        <v>0</v>
      </c>
    </row>
    <row r="7" spans="1:8" x14ac:dyDescent="0.2">
      <c r="A7" s="4" t="s">
        <v>9</v>
      </c>
      <c r="B7" s="5">
        <v>663530</v>
      </c>
      <c r="C7" s="5">
        <v>635440</v>
      </c>
      <c r="D7" s="5">
        <v>662540</v>
      </c>
      <c r="E7" s="41">
        <f t="shared" si="0"/>
        <v>-7.4628845016699863E-4</v>
      </c>
    </row>
    <row r="8" spans="1:8" x14ac:dyDescent="0.2">
      <c r="A8" s="6" t="s">
        <v>10</v>
      </c>
      <c r="B8" s="7">
        <v>465850</v>
      </c>
      <c r="C8" s="7">
        <v>487970</v>
      </c>
      <c r="D8" s="7">
        <v>487760</v>
      </c>
      <c r="E8" s="42">
        <f t="shared" si="0"/>
        <v>2.3245965805113178E-2</v>
      </c>
    </row>
    <row r="9" spans="1:8" x14ac:dyDescent="0.2">
      <c r="A9" s="4" t="s">
        <v>11</v>
      </c>
      <c r="B9" s="5">
        <v>51530</v>
      </c>
      <c r="C9" s="5">
        <v>51530</v>
      </c>
      <c r="D9" s="5">
        <v>51530</v>
      </c>
      <c r="E9" s="41">
        <f t="shared" si="0"/>
        <v>0</v>
      </c>
    </row>
    <row r="10" spans="1:8" x14ac:dyDescent="0.2">
      <c r="A10" s="6" t="s">
        <v>12</v>
      </c>
      <c r="B10" s="7">
        <v>592195</v>
      </c>
      <c r="C10" s="7">
        <v>601546</v>
      </c>
      <c r="D10" s="7">
        <v>613069</v>
      </c>
      <c r="E10" s="42">
        <f t="shared" si="0"/>
        <v>1.747163329350121E-2</v>
      </c>
    </row>
    <row r="11" spans="1:8" x14ac:dyDescent="0.2">
      <c r="A11" s="9" t="s">
        <v>13</v>
      </c>
    </row>
    <row r="13" spans="1:8" ht="22" customHeight="1" x14ac:dyDescent="0.2">
      <c r="A13" s="64" t="s">
        <v>14</v>
      </c>
      <c r="B13" s="63"/>
      <c r="C13" s="63"/>
      <c r="D13" s="63"/>
      <c r="E13" s="63"/>
      <c r="F13" s="63"/>
      <c r="G13" s="63"/>
      <c r="H13" s="63"/>
    </row>
    <row r="14" spans="1:8" ht="16" x14ac:dyDescent="0.2">
      <c r="A14" s="2" t="s">
        <v>15</v>
      </c>
      <c r="B14" s="3" t="s">
        <v>16</v>
      </c>
      <c r="C14" s="65" t="s">
        <v>17</v>
      </c>
      <c r="D14" s="66"/>
      <c r="E14" s="66"/>
      <c r="F14" s="66"/>
      <c r="G14" s="66"/>
      <c r="H14" s="66"/>
    </row>
    <row r="15" spans="1:8" x14ac:dyDescent="0.2">
      <c r="A15" s="4" t="s">
        <v>18</v>
      </c>
      <c r="B15" s="43">
        <v>0.05</v>
      </c>
      <c r="C15" s="61" t="s">
        <v>19</v>
      </c>
      <c r="D15" s="60"/>
      <c r="E15" s="60"/>
      <c r="F15" s="60"/>
      <c r="G15" s="60"/>
      <c r="H15" s="60"/>
    </row>
    <row r="16" spans="1:8" x14ac:dyDescent="0.2">
      <c r="A16" s="6" t="s">
        <v>20</v>
      </c>
      <c r="B16" s="44">
        <v>7.0000000000000007E-2</v>
      </c>
      <c r="C16" s="59" t="s">
        <v>21</v>
      </c>
      <c r="D16" s="60"/>
      <c r="E16" s="60"/>
      <c r="F16" s="60"/>
      <c r="G16" s="60"/>
      <c r="H16" s="60"/>
    </row>
    <row r="17" spans="1:8" x14ac:dyDescent="0.2">
      <c r="A17" s="4" t="s">
        <v>22</v>
      </c>
      <c r="B17" s="43">
        <v>0.09</v>
      </c>
      <c r="C17" s="61" t="s">
        <v>23</v>
      </c>
      <c r="D17" s="60"/>
      <c r="E17" s="60"/>
      <c r="F17" s="60"/>
      <c r="G17" s="60"/>
      <c r="H17" s="60"/>
    </row>
    <row r="18" spans="1:8" x14ac:dyDescent="0.2">
      <c r="A18" s="6" t="s">
        <v>24</v>
      </c>
      <c r="B18" s="44">
        <v>0.1</v>
      </c>
      <c r="C18" s="59" t="s">
        <v>25</v>
      </c>
      <c r="D18" s="60"/>
      <c r="E18" s="60"/>
      <c r="F18" s="60"/>
      <c r="G18" s="60"/>
      <c r="H18" s="60"/>
    </row>
    <row r="19" spans="1:8" x14ac:dyDescent="0.2">
      <c r="A19" s="4" t="s">
        <v>26</v>
      </c>
      <c r="B19" s="43">
        <v>0.1</v>
      </c>
      <c r="C19" s="61" t="s">
        <v>27</v>
      </c>
      <c r="D19" s="60"/>
      <c r="E19" s="60"/>
      <c r="F19" s="60"/>
      <c r="G19" s="60"/>
      <c r="H19" s="60"/>
    </row>
    <row r="20" spans="1:8" x14ac:dyDescent="0.2">
      <c r="A20" s="6" t="s">
        <v>28</v>
      </c>
      <c r="B20" s="44">
        <v>0.26</v>
      </c>
      <c r="C20" s="59" t="s">
        <v>29</v>
      </c>
      <c r="D20" s="60"/>
      <c r="E20" s="60"/>
      <c r="F20" s="60"/>
      <c r="G20" s="60"/>
      <c r="H20" s="60"/>
    </row>
    <row r="21" spans="1:8" x14ac:dyDescent="0.2">
      <c r="A21" s="4" t="s">
        <v>30</v>
      </c>
      <c r="B21" s="43">
        <v>0.02</v>
      </c>
      <c r="C21" s="61" t="s">
        <v>31</v>
      </c>
      <c r="D21" s="60"/>
      <c r="E21" s="60"/>
      <c r="F21" s="60"/>
      <c r="G21" s="60"/>
      <c r="H21" s="60"/>
    </row>
    <row r="22" spans="1:8" x14ac:dyDescent="0.2">
      <c r="A22" s="6" t="s">
        <v>32</v>
      </c>
      <c r="B22" s="44">
        <v>0.26</v>
      </c>
      <c r="C22" s="59" t="s">
        <v>33</v>
      </c>
      <c r="D22" s="60"/>
      <c r="E22" s="60"/>
      <c r="F22" s="60"/>
      <c r="G22" s="60"/>
      <c r="H22" s="60"/>
    </row>
    <row r="23" spans="1:8" x14ac:dyDescent="0.2">
      <c r="A23" s="4" t="s">
        <v>34</v>
      </c>
      <c r="B23" s="43">
        <v>0.05</v>
      </c>
      <c r="C23" s="61" t="s">
        <v>35</v>
      </c>
      <c r="D23" s="60"/>
      <c r="E23" s="60"/>
      <c r="F23" s="60"/>
      <c r="G23" s="60"/>
      <c r="H23" s="60"/>
    </row>
    <row r="24" spans="1:8" x14ac:dyDescent="0.2">
      <c r="A24" s="6" t="s">
        <v>36</v>
      </c>
      <c r="B24" s="44">
        <v>0.105</v>
      </c>
      <c r="C24" s="59" t="s">
        <v>37</v>
      </c>
      <c r="D24" s="60"/>
      <c r="E24" s="60"/>
      <c r="F24" s="60"/>
      <c r="G24" s="60"/>
      <c r="H24" s="60"/>
    </row>
    <row r="25" spans="1:8" x14ac:dyDescent="0.2">
      <c r="A25" s="4" t="s">
        <v>38</v>
      </c>
      <c r="B25" s="45">
        <v>3618</v>
      </c>
      <c r="C25" s="61" t="s">
        <v>39</v>
      </c>
      <c r="D25" s="60"/>
      <c r="E25" s="60"/>
      <c r="F25" s="60"/>
      <c r="G25" s="60"/>
      <c r="H25" s="60"/>
    </row>
    <row r="26" spans="1:8" x14ac:dyDescent="0.2">
      <c r="A26" s="6" t="s">
        <v>40</v>
      </c>
      <c r="B26" s="46">
        <v>450000</v>
      </c>
      <c r="C26" s="59" t="s">
        <v>41</v>
      </c>
      <c r="D26" s="60"/>
      <c r="E26" s="60"/>
      <c r="F26" s="60"/>
      <c r="G26" s="60"/>
      <c r="H26" s="60"/>
    </row>
  </sheetData>
  <mergeCells count="17">
    <mergeCell ref="C18:H18"/>
    <mergeCell ref="C26:H26"/>
    <mergeCell ref="C21:H21"/>
    <mergeCell ref="C15:H15"/>
    <mergeCell ref="C20:H20"/>
    <mergeCell ref="A1:H1"/>
    <mergeCell ref="C25:H25"/>
    <mergeCell ref="A3:H3"/>
    <mergeCell ref="C19:H19"/>
    <mergeCell ref="C16:H16"/>
    <mergeCell ref="C24:H24"/>
    <mergeCell ref="C14:H14"/>
    <mergeCell ref="C22:H22"/>
    <mergeCell ref="A2:H2"/>
    <mergeCell ref="C17:H17"/>
    <mergeCell ref="C23:H23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2" sqref="A2:H2"/>
    </sheetView>
  </sheetViews>
  <sheetFormatPr baseColWidth="10" defaultColWidth="8.83203125" defaultRowHeight="15" x14ac:dyDescent="0.2"/>
  <cols>
    <col min="1" max="1" width="36" customWidth="1"/>
    <col min="2" max="8" width="16" customWidth="1"/>
  </cols>
  <sheetData>
    <row r="1" spans="1:8" ht="40" customHeight="1" x14ac:dyDescent="0.2">
      <c r="A1" s="62" t="s">
        <v>42</v>
      </c>
      <c r="B1" s="63"/>
      <c r="C1" s="63"/>
      <c r="D1" s="63"/>
      <c r="E1" s="63"/>
      <c r="F1" s="63"/>
      <c r="G1" s="63"/>
      <c r="H1" s="63"/>
    </row>
    <row r="2" spans="1:8" ht="20" customHeight="1" x14ac:dyDescent="0.2">
      <c r="A2" s="67" t="s">
        <v>43</v>
      </c>
      <c r="B2" s="68"/>
      <c r="C2" s="68"/>
      <c r="D2" s="68"/>
      <c r="E2" s="68"/>
      <c r="F2" s="68"/>
      <c r="G2" s="68"/>
      <c r="H2" s="68"/>
    </row>
    <row r="3" spans="1:8" ht="24" customHeight="1" x14ac:dyDescent="0.2">
      <c r="A3" s="10" t="s">
        <v>44</v>
      </c>
      <c r="B3" s="10" t="s">
        <v>45</v>
      </c>
      <c r="C3" s="10" t="s">
        <v>46</v>
      </c>
      <c r="D3" s="10" t="s">
        <v>47</v>
      </c>
      <c r="E3" s="10" t="s">
        <v>48</v>
      </c>
      <c r="F3" s="10" t="s">
        <v>49</v>
      </c>
      <c r="G3" s="10" t="s">
        <v>50</v>
      </c>
    </row>
    <row r="4" spans="1:8" ht="20" customHeight="1" x14ac:dyDescent="0.2">
      <c r="A4" s="69" t="s">
        <v>51</v>
      </c>
      <c r="B4" s="63"/>
      <c r="C4" s="63"/>
      <c r="D4" s="63"/>
      <c r="E4" s="63"/>
      <c r="F4" s="63"/>
      <c r="G4" s="63"/>
      <c r="H4" s="63"/>
    </row>
    <row r="5" spans="1:8" ht="18" customHeight="1" x14ac:dyDescent="0.2">
      <c r="A5" s="6" t="s">
        <v>52</v>
      </c>
      <c r="B5" s="11"/>
      <c r="C5" s="11">
        <f>Assumptions!B15</f>
        <v>0.05</v>
      </c>
      <c r="D5" s="11">
        <f>Assumptions!B16</f>
        <v>7.0000000000000007E-2</v>
      </c>
      <c r="E5" s="11">
        <f>Assumptions!B17</f>
        <v>0.09</v>
      </c>
      <c r="F5" s="11">
        <f>Assumptions!B18</f>
        <v>0.1</v>
      </c>
      <c r="G5" s="11">
        <f>Assumptions!B19</f>
        <v>0.1</v>
      </c>
    </row>
    <row r="6" spans="1:8" ht="18" customHeight="1" x14ac:dyDescent="0.2">
      <c r="A6" s="12" t="s">
        <v>53</v>
      </c>
      <c r="B6" s="13">
        <v>2553240</v>
      </c>
      <c r="C6" s="14">
        <f>B6*(1+C5)</f>
        <v>2680902</v>
      </c>
      <c r="D6" s="14">
        <f>C6*(1+D5)</f>
        <v>2868565.14</v>
      </c>
      <c r="E6" s="14">
        <f>D6*(1+E5)</f>
        <v>3126736.0026000002</v>
      </c>
      <c r="F6" s="14">
        <f>E6*(1+F5)</f>
        <v>3439409.6028600005</v>
      </c>
      <c r="G6" s="14">
        <f>F6*(1+G5)</f>
        <v>3783350.5631460007</v>
      </c>
    </row>
    <row r="7" spans="1:8" x14ac:dyDescent="0.2">
      <c r="A7" s="9" t="s">
        <v>54</v>
      </c>
    </row>
    <row r="8" spans="1:8" ht="20" customHeight="1" x14ac:dyDescent="0.2">
      <c r="A8" s="69" t="s">
        <v>55</v>
      </c>
      <c r="B8" s="63"/>
      <c r="C8" s="63"/>
      <c r="D8" s="63"/>
      <c r="E8" s="63"/>
      <c r="F8" s="63"/>
      <c r="G8" s="63"/>
      <c r="H8" s="63"/>
    </row>
    <row r="9" spans="1:8" ht="18" customHeight="1" x14ac:dyDescent="0.2">
      <c r="A9" s="6" t="s">
        <v>56</v>
      </c>
      <c r="B9" s="11">
        <f>662540/2553240</f>
        <v>0.25948990302517583</v>
      </c>
      <c r="D9" s="8">
        <f>Assumptions!B20</f>
        <v>0.26</v>
      </c>
      <c r="E9" s="8">
        <f>Assumptions!B20</f>
        <v>0.26</v>
      </c>
      <c r="F9" s="8">
        <f>Assumptions!B20</f>
        <v>0.26</v>
      </c>
      <c r="G9" s="8">
        <f>Assumptions!B20</f>
        <v>0.26</v>
      </c>
      <c r="H9" s="8"/>
    </row>
    <row r="10" spans="1:8" ht="18" customHeight="1" x14ac:dyDescent="0.2">
      <c r="A10" s="12" t="s">
        <v>57</v>
      </c>
      <c r="B10" s="13">
        <v>662540</v>
      </c>
      <c r="C10" s="14">
        <f>C6*C9</f>
        <v>0</v>
      </c>
      <c r="D10" s="14">
        <f>D6*D9</f>
        <v>745826.93640000001</v>
      </c>
      <c r="E10" s="14">
        <f>E6*E9</f>
        <v>812951.36067600013</v>
      </c>
      <c r="F10" s="14">
        <f>F6*F9</f>
        <v>894246.49674360012</v>
      </c>
      <c r="G10" s="14">
        <f>G6*G9</f>
        <v>983671.14641796018</v>
      </c>
    </row>
    <row r="11" spans="1:8" ht="20" customHeight="1" x14ac:dyDescent="0.2">
      <c r="A11" s="69" t="s">
        <v>58</v>
      </c>
      <c r="B11" s="63"/>
      <c r="C11" s="63"/>
      <c r="D11" s="63"/>
      <c r="E11" s="63"/>
      <c r="F11" s="63"/>
      <c r="G11" s="63"/>
      <c r="H11" s="63"/>
    </row>
    <row r="12" spans="1:8" ht="18" customHeight="1" x14ac:dyDescent="0.2">
      <c r="A12" s="4" t="s">
        <v>59</v>
      </c>
      <c r="B12" s="13">
        <v>40890</v>
      </c>
      <c r="C12" s="5">
        <v>43000</v>
      </c>
      <c r="D12" s="5">
        <v>45000</v>
      </c>
      <c r="E12" s="5">
        <v>47000</v>
      </c>
      <c r="F12" s="5">
        <v>49000</v>
      </c>
      <c r="G12" s="5">
        <v>51000</v>
      </c>
    </row>
    <row r="13" spans="1:8" ht="18" customHeight="1" x14ac:dyDescent="0.2">
      <c r="A13" s="15" t="s">
        <v>60</v>
      </c>
      <c r="B13" s="16">
        <f t="shared" ref="B13:G13" si="0">B10-B12</f>
        <v>621650</v>
      </c>
      <c r="C13" s="16">
        <f t="shared" si="0"/>
        <v>-43000</v>
      </c>
      <c r="D13" s="16">
        <f t="shared" si="0"/>
        <v>700826.93640000001</v>
      </c>
      <c r="E13" s="16">
        <f t="shared" si="0"/>
        <v>765951.36067600013</v>
      </c>
      <c r="F13" s="16">
        <f t="shared" si="0"/>
        <v>845246.49674360012</v>
      </c>
      <c r="G13" s="16">
        <f t="shared" si="0"/>
        <v>932671.14641796018</v>
      </c>
    </row>
    <row r="14" spans="1:8" ht="20" customHeight="1" x14ac:dyDescent="0.2">
      <c r="A14" s="69" t="s">
        <v>61</v>
      </c>
      <c r="B14" s="63"/>
      <c r="C14" s="63"/>
      <c r="D14" s="63"/>
      <c r="E14" s="63"/>
      <c r="F14" s="63"/>
      <c r="G14" s="63"/>
      <c r="H14" s="63"/>
    </row>
    <row r="15" spans="1:8" ht="18" customHeight="1" x14ac:dyDescent="0.2">
      <c r="A15" s="6" t="s">
        <v>62</v>
      </c>
      <c r="B15" s="11">
        <f>Assumptions!B22</f>
        <v>0.26</v>
      </c>
      <c r="C15" s="11">
        <f>Assumptions!B22</f>
        <v>0.26</v>
      </c>
      <c r="D15" s="11">
        <f>Assumptions!B22</f>
        <v>0.26</v>
      </c>
      <c r="E15" s="11">
        <f>Assumptions!B22</f>
        <v>0.26</v>
      </c>
      <c r="F15" s="11">
        <f>Assumptions!B22</f>
        <v>0.26</v>
      </c>
      <c r="G15" s="11">
        <f>Assumptions!B22</f>
        <v>0.26</v>
      </c>
    </row>
    <row r="16" spans="1:8" ht="18" customHeight="1" x14ac:dyDescent="0.2">
      <c r="A16" s="12" t="s">
        <v>63</v>
      </c>
      <c r="B16" s="14">
        <f t="shared" ref="B16:G16" si="1">B13*(1-B15)</f>
        <v>460021</v>
      </c>
      <c r="C16" s="14">
        <f t="shared" si="1"/>
        <v>-31820</v>
      </c>
      <c r="D16" s="14">
        <f t="shared" si="1"/>
        <v>518611.932936</v>
      </c>
      <c r="E16" s="14">
        <f t="shared" si="1"/>
        <v>566804.00690024009</v>
      </c>
      <c r="F16" s="14">
        <f t="shared" si="1"/>
        <v>625482.40759026411</v>
      </c>
      <c r="G16" s="14">
        <f t="shared" si="1"/>
        <v>690176.64834929048</v>
      </c>
    </row>
    <row r="17" spans="1:8" ht="18" customHeight="1" x14ac:dyDescent="0.2">
      <c r="A17" s="6" t="s">
        <v>64</v>
      </c>
      <c r="B17" s="7">
        <f t="shared" ref="B17:G17" si="2">B12</f>
        <v>40890</v>
      </c>
      <c r="C17" s="7">
        <f t="shared" si="2"/>
        <v>43000</v>
      </c>
      <c r="D17" s="7">
        <f t="shared" si="2"/>
        <v>45000</v>
      </c>
      <c r="E17" s="7">
        <f t="shared" si="2"/>
        <v>47000</v>
      </c>
      <c r="F17" s="7">
        <f t="shared" si="2"/>
        <v>49000</v>
      </c>
      <c r="G17" s="7">
        <f t="shared" si="2"/>
        <v>51000</v>
      </c>
    </row>
    <row r="18" spans="1:8" ht="18" customHeight="1" x14ac:dyDescent="0.2">
      <c r="A18" s="4" t="s">
        <v>65</v>
      </c>
      <c r="B18" s="5">
        <f>-B6*Assumptions!B21</f>
        <v>-51064.800000000003</v>
      </c>
      <c r="C18" s="5">
        <f>-C6*Assumptions!B21</f>
        <v>-53618.04</v>
      </c>
      <c r="D18" s="5">
        <f>-D6*Assumptions!B21</f>
        <v>-57371.302800000005</v>
      </c>
      <c r="E18" s="5">
        <f>-E6*Assumptions!B21</f>
        <v>-62534.720052000004</v>
      </c>
      <c r="F18" s="5">
        <f>-F6*Assumptions!B21</f>
        <v>-68788.192057200009</v>
      </c>
      <c r="G18" s="5">
        <f>-G6*Assumptions!B21</f>
        <v>-75667.011262920016</v>
      </c>
    </row>
    <row r="19" spans="1:8" ht="18" customHeight="1" x14ac:dyDescent="0.2">
      <c r="A19" s="6" t="s">
        <v>66</v>
      </c>
      <c r="B19" s="17">
        <v>0</v>
      </c>
      <c r="C19" s="7">
        <v>-15000</v>
      </c>
      <c r="D19" s="7">
        <v>-18000</v>
      </c>
      <c r="E19" s="7">
        <v>-20000</v>
      </c>
      <c r="F19" s="7">
        <v>-22000</v>
      </c>
      <c r="G19" s="7">
        <v>-24000</v>
      </c>
    </row>
    <row r="20" spans="1:8" ht="18" customHeight="1" x14ac:dyDescent="0.2">
      <c r="A20" s="15" t="s">
        <v>67</v>
      </c>
      <c r="B20" s="16">
        <f t="shared" ref="B20:G20" si="3">B16+B17+B18+B19</f>
        <v>449846.2</v>
      </c>
      <c r="C20" s="16">
        <f t="shared" si="3"/>
        <v>-57438.04</v>
      </c>
      <c r="D20" s="16">
        <f t="shared" si="3"/>
        <v>488240.63013599993</v>
      </c>
      <c r="E20" s="16">
        <f t="shared" si="3"/>
        <v>531269.28684824007</v>
      </c>
      <c r="F20" s="16">
        <f t="shared" si="3"/>
        <v>583694.2155330641</v>
      </c>
      <c r="G20" s="16">
        <f t="shared" si="3"/>
        <v>641509.63708637049</v>
      </c>
    </row>
    <row r="21" spans="1:8" ht="20" customHeight="1" x14ac:dyDescent="0.2">
      <c r="A21" s="69" t="s">
        <v>68</v>
      </c>
      <c r="B21" s="63"/>
      <c r="C21" s="63"/>
      <c r="D21" s="63"/>
      <c r="E21" s="63"/>
      <c r="F21" s="63"/>
      <c r="G21" s="63"/>
      <c r="H21" s="63"/>
    </row>
    <row r="22" spans="1:8" ht="18" customHeight="1" x14ac:dyDescent="0.2">
      <c r="A22" s="4" t="s">
        <v>69</v>
      </c>
      <c r="B22" s="18">
        <f>Assumptions!B24</f>
        <v>0.105</v>
      </c>
      <c r="C22" s="18">
        <f>Assumptions!B24</f>
        <v>0.105</v>
      </c>
      <c r="D22" s="18">
        <f>Assumptions!B24</f>
        <v>0.105</v>
      </c>
      <c r="E22" s="18">
        <f>Assumptions!B24</f>
        <v>0.105</v>
      </c>
      <c r="F22" s="18">
        <f>Assumptions!B24</f>
        <v>0.105</v>
      </c>
      <c r="G22" s="18">
        <f>Assumptions!B24</f>
        <v>0.105</v>
      </c>
    </row>
    <row r="23" spans="1:8" ht="18" customHeight="1" x14ac:dyDescent="0.2">
      <c r="A23" s="6" t="s">
        <v>70</v>
      </c>
      <c r="B23" s="19" t="s">
        <v>45</v>
      </c>
      <c r="C23" s="20">
        <v>1</v>
      </c>
      <c r="D23" s="47">
        <v>2</v>
      </c>
      <c r="E23" s="47">
        <v>3</v>
      </c>
      <c r="F23" s="47">
        <v>4</v>
      </c>
      <c r="G23" s="47">
        <v>5</v>
      </c>
      <c r="H23" s="21"/>
    </row>
    <row r="24" spans="1:8" ht="18" customHeight="1" x14ac:dyDescent="0.2">
      <c r="A24" s="4" t="s">
        <v>71</v>
      </c>
      <c r="B24" s="22" t="s">
        <v>72</v>
      </c>
      <c r="C24" s="23">
        <f>1/(1+C22)^1</f>
        <v>0.90497737556561086</v>
      </c>
      <c r="D24" s="23">
        <f>1/(1+C22)^2</f>
        <v>0.81898405028562071</v>
      </c>
      <c r="E24" s="23">
        <f>1/(1+C22)^3</f>
        <v>0.74116203645757528</v>
      </c>
      <c r="F24" s="23">
        <f>1/(1+C22)^4</f>
        <v>0.67073487462224002</v>
      </c>
      <c r="G24" s="23">
        <f>1/(1+C22)^5</f>
        <v>0.60699988653596382</v>
      </c>
    </row>
    <row r="25" spans="1:8" ht="18" customHeight="1" x14ac:dyDescent="0.2">
      <c r="A25" s="24" t="s">
        <v>73</v>
      </c>
      <c r="B25" s="25" t="s">
        <v>72</v>
      </c>
      <c r="C25" s="26">
        <f>C20*C24</f>
        <v>-51980.12669683258</v>
      </c>
      <c r="D25" s="26">
        <f>D20*D24</f>
        <v>399861.28878278489</v>
      </c>
      <c r="E25" s="26">
        <f>E20*E24</f>
        <v>393756.62654780532</v>
      </c>
      <c r="F25" s="26">
        <f>F20*F24</f>
        <v>391504.06647329649</v>
      </c>
      <c r="G25" s="26">
        <f>G20*G24</f>
        <v>389396.27692315419</v>
      </c>
    </row>
    <row r="26" spans="1:8" ht="18" customHeight="1" x14ac:dyDescent="0.2">
      <c r="A26" s="4" t="s">
        <v>74</v>
      </c>
      <c r="B26" s="18">
        <f>Assumptions!B23</f>
        <v>0.05</v>
      </c>
      <c r="C26" s="18">
        <f>Assumptions!B23</f>
        <v>0.05</v>
      </c>
      <c r="D26" s="18">
        <f>Assumptions!B23</f>
        <v>0.05</v>
      </c>
      <c r="E26" s="18">
        <f>Assumptions!B23</f>
        <v>0.05</v>
      </c>
      <c r="F26" s="18">
        <f>Assumptions!B23</f>
        <v>0.05</v>
      </c>
      <c r="G26" s="18">
        <f>Assumptions!B23</f>
        <v>0.05</v>
      </c>
    </row>
    <row r="27" spans="1:8" ht="16" x14ac:dyDescent="0.2">
      <c r="A27" s="12" t="s">
        <v>75</v>
      </c>
      <c r="B27" s="27" t="s">
        <v>72</v>
      </c>
      <c r="C27" s="27" t="s">
        <v>72</v>
      </c>
      <c r="D27" s="27" t="s">
        <v>72</v>
      </c>
      <c r="E27" s="27" t="s">
        <v>72</v>
      </c>
      <c r="F27" s="27" t="s">
        <v>72</v>
      </c>
      <c r="G27" s="28">
        <f>G20*(1+Assumptions!B23)/(Assumptions!B24-Assumptions!B23)</f>
        <v>12247002.162557984</v>
      </c>
    </row>
    <row r="28" spans="1:8" ht="16" x14ac:dyDescent="0.2">
      <c r="A28" s="29" t="s">
        <v>76</v>
      </c>
      <c r="B28" s="30" t="s">
        <v>72</v>
      </c>
      <c r="C28" s="30" t="s">
        <v>72</v>
      </c>
      <c r="D28" s="30" t="s">
        <v>72</v>
      </c>
      <c r="E28" s="30" t="s">
        <v>72</v>
      </c>
      <c r="F28" s="30" t="s">
        <v>72</v>
      </c>
      <c r="G28" s="31">
        <f>G27*G24</f>
        <v>7433928.9230784001</v>
      </c>
    </row>
    <row r="30" spans="1:8" ht="20" customHeight="1" x14ac:dyDescent="0.2">
      <c r="A30" s="69" t="s">
        <v>77</v>
      </c>
      <c r="B30" s="63"/>
      <c r="C30" s="63"/>
      <c r="D30" s="63"/>
      <c r="E30" s="63"/>
      <c r="F30" s="63"/>
      <c r="G30" s="63"/>
      <c r="H30" s="63"/>
    </row>
    <row r="31" spans="1:8" x14ac:dyDescent="0.2">
      <c r="A31" s="12" t="s">
        <v>78</v>
      </c>
      <c r="C31" s="28">
        <f>SUM(C25:G25)</f>
        <v>1522538.1320302084</v>
      </c>
    </row>
    <row r="32" spans="1:8" x14ac:dyDescent="0.2">
      <c r="A32" s="29" t="s">
        <v>76</v>
      </c>
      <c r="C32" s="31">
        <f>G28</f>
        <v>7433928.9230784001</v>
      </c>
    </row>
    <row r="33" spans="1:8" ht="16" x14ac:dyDescent="0.2">
      <c r="A33" s="15" t="s">
        <v>79</v>
      </c>
      <c r="C33" s="32">
        <f>C31+C32</f>
        <v>8956467.0551086087</v>
      </c>
    </row>
    <row r="34" spans="1:8" x14ac:dyDescent="0.2">
      <c r="A34" s="4" t="s">
        <v>80</v>
      </c>
      <c r="C34" s="33">
        <f>Assumptions!B26</f>
        <v>450000</v>
      </c>
    </row>
    <row r="35" spans="1:8" ht="16" x14ac:dyDescent="0.2">
      <c r="A35" s="34" t="s">
        <v>81</v>
      </c>
      <c r="C35" s="35">
        <f>C33+C34</f>
        <v>9406467.0551086087</v>
      </c>
    </row>
    <row r="36" spans="1:8" x14ac:dyDescent="0.2">
      <c r="A36" s="4" t="s">
        <v>82</v>
      </c>
      <c r="C36" s="36">
        <f>Assumptions!B25</f>
        <v>3618</v>
      </c>
    </row>
    <row r="38" spans="1:8" ht="36" customHeight="1" x14ac:dyDescent="0.2">
      <c r="A38" s="73" t="s">
        <v>83</v>
      </c>
      <c r="B38" s="63"/>
      <c r="C38" s="63"/>
      <c r="D38" s="63"/>
      <c r="E38" s="63"/>
      <c r="F38" s="63"/>
      <c r="G38" s="74">
        <f>(C35/Assumptions!B25)*1</f>
        <v>2599.9079754307927</v>
      </c>
      <c r="H38" s="63"/>
    </row>
    <row r="39" spans="1:8" ht="24" customHeight="1" x14ac:dyDescent="0.2">
      <c r="A39" s="70" t="s">
        <v>84</v>
      </c>
      <c r="B39" s="63"/>
      <c r="C39" s="63"/>
      <c r="D39" s="63"/>
      <c r="E39" s="63"/>
      <c r="F39" s="63"/>
      <c r="G39" s="72">
        <v>3280</v>
      </c>
      <c r="H39" s="68"/>
    </row>
    <row r="40" spans="1:8" ht="24" customHeight="1" x14ac:dyDescent="0.2">
      <c r="A40" s="70" t="s">
        <v>85</v>
      </c>
      <c r="B40" s="63"/>
      <c r="C40" s="63"/>
      <c r="D40" s="63"/>
      <c r="E40" s="63"/>
      <c r="F40" s="63"/>
      <c r="G40" s="71">
        <f>(G38-G39)/G39</f>
        <v>-0.2073451294418315</v>
      </c>
      <c r="H40" s="63"/>
    </row>
  </sheetData>
  <mergeCells count="14">
    <mergeCell ref="A2:H2"/>
    <mergeCell ref="A11:H11"/>
    <mergeCell ref="A14:H14"/>
    <mergeCell ref="A40:F40"/>
    <mergeCell ref="A1:H1"/>
    <mergeCell ref="G40:H40"/>
    <mergeCell ref="A39:F39"/>
    <mergeCell ref="A8:H8"/>
    <mergeCell ref="G39:H39"/>
    <mergeCell ref="A38:F38"/>
    <mergeCell ref="A4:H4"/>
    <mergeCell ref="A21:H21"/>
    <mergeCell ref="A30:H30"/>
    <mergeCell ref="G38:H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A9" sqref="A9:H9"/>
    </sheetView>
  </sheetViews>
  <sheetFormatPr baseColWidth="10" defaultColWidth="8.83203125" defaultRowHeight="15" x14ac:dyDescent="0.2"/>
  <cols>
    <col min="1" max="1" width="22" customWidth="1"/>
    <col min="2" max="8" width="15" customWidth="1"/>
  </cols>
  <sheetData>
    <row r="1" spans="1:8" ht="36" customHeight="1" x14ac:dyDescent="0.2">
      <c r="A1" s="76" t="s">
        <v>86</v>
      </c>
      <c r="B1" s="63"/>
      <c r="C1" s="63"/>
      <c r="D1" s="63"/>
      <c r="E1" s="63"/>
      <c r="F1" s="63"/>
      <c r="G1" s="63"/>
      <c r="H1" s="63"/>
    </row>
    <row r="2" spans="1:8" ht="16" x14ac:dyDescent="0.2">
      <c r="A2" s="10" t="s">
        <v>87</v>
      </c>
      <c r="B2" s="10" t="s">
        <v>88</v>
      </c>
      <c r="C2" s="10" t="s">
        <v>89</v>
      </c>
      <c r="D2" s="10" t="s">
        <v>90</v>
      </c>
      <c r="E2" s="10" t="s">
        <v>91</v>
      </c>
      <c r="F2" s="10" t="s">
        <v>92</v>
      </c>
    </row>
    <row r="3" spans="1:8" ht="16" x14ac:dyDescent="0.2">
      <c r="A3" s="37" t="s">
        <v>93</v>
      </c>
      <c r="B3" s="38">
        <v>1647</v>
      </c>
      <c r="C3" s="38">
        <v>1929</v>
      </c>
      <c r="D3" s="38">
        <v>2372</v>
      </c>
      <c r="E3" s="39">
        <v>3170</v>
      </c>
      <c r="F3" s="40">
        <v>5032</v>
      </c>
    </row>
    <row r="4" spans="1:8" ht="16" x14ac:dyDescent="0.2">
      <c r="A4" s="37" t="s">
        <v>94</v>
      </c>
      <c r="B4" s="38">
        <v>1416</v>
      </c>
      <c r="C4" s="38">
        <v>1604</v>
      </c>
      <c r="D4" s="38">
        <v>1876</v>
      </c>
      <c r="E4" s="38">
        <v>2303</v>
      </c>
      <c r="F4" s="39">
        <v>3072</v>
      </c>
    </row>
    <row r="5" spans="1:8" ht="16" x14ac:dyDescent="0.2">
      <c r="A5" s="37" t="s">
        <v>95</v>
      </c>
      <c r="B5" s="38">
        <v>1249</v>
      </c>
      <c r="C5" s="38">
        <v>1382</v>
      </c>
      <c r="D5" s="38">
        <v>1563</v>
      </c>
      <c r="E5" s="38">
        <v>1825</v>
      </c>
      <c r="F5" s="38">
        <v>2237</v>
      </c>
    </row>
    <row r="6" spans="1:8" ht="16" x14ac:dyDescent="0.2">
      <c r="A6" s="37" t="s">
        <v>96</v>
      </c>
      <c r="B6" s="38">
        <v>1122</v>
      </c>
      <c r="C6" s="38">
        <v>1221</v>
      </c>
      <c r="D6" s="38">
        <v>1349</v>
      </c>
      <c r="E6" s="38">
        <v>1524</v>
      </c>
      <c r="F6" s="38">
        <v>1777</v>
      </c>
    </row>
    <row r="7" spans="1:8" ht="16" x14ac:dyDescent="0.2">
      <c r="A7" s="37" t="s">
        <v>97</v>
      </c>
      <c r="B7" s="38">
        <v>1024</v>
      </c>
      <c r="C7" s="38">
        <v>1099</v>
      </c>
      <c r="D7" s="38">
        <v>1194</v>
      </c>
      <c r="E7" s="38">
        <v>1318</v>
      </c>
      <c r="F7" s="38">
        <v>1487</v>
      </c>
    </row>
    <row r="9" spans="1:8" x14ac:dyDescent="0.2">
      <c r="A9" s="75" t="s">
        <v>98</v>
      </c>
      <c r="B9" s="63"/>
      <c r="C9" s="63"/>
      <c r="D9" s="63"/>
      <c r="E9" s="63"/>
      <c r="F9" s="63"/>
      <c r="G9" s="63"/>
      <c r="H9" s="63"/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showGridLines="0" tabSelected="1" workbookViewId="0">
      <selection activeCell="C20" sqref="C20"/>
    </sheetView>
  </sheetViews>
  <sheetFormatPr baseColWidth="10" defaultColWidth="8.83203125" defaultRowHeight="15" x14ac:dyDescent="0.2"/>
  <cols>
    <col min="1" max="1" width="40" customWidth="1"/>
    <col min="2" max="2" width="30.33203125" customWidth="1"/>
    <col min="3" max="3" width="46.6640625" customWidth="1"/>
  </cols>
  <sheetData>
    <row r="1" spans="1:3" ht="36" customHeight="1" x14ac:dyDescent="0.2">
      <c r="A1" s="76" t="s">
        <v>99</v>
      </c>
      <c r="B1" s="63"/>
      <c r="C1" s="63"/>
    </row>
    <row r="2" spans="1:3" x14ac:dyDescent="0.2">
      <c r="A2" s="1" t="s">
        <v>100</v>
      </c>
      <c r="B2" s="49" t="s">
        <v>101</v>
      </c>
      <c r="C2" s="54" t="s">
        <v>102</v>
      </c>
    </row>
    <row r="3" spans="1:3" x14ac:dyDescent="0.2">
      <c r="A3" s="6" t="s">
        <v>103</v>
      </c>
      <c r="B3" s="50" t="s">
        <v>104</v>
      </c>
      <c r="C3" s="55" t="s">
        <v>105</v>
      </c>
    </row>
    <row r="4" spans="1:3" x14ac:dyDescent="0.2">
      <c r="A4" s="4" t="s">
        <v>106</v>
      </c>
      <c r="B4" s="51" t="s">
        <v>104</v>
      </c>
      <c r="C4" s="56" t="s">
        <v>107</v>
      </c>
    </row>
    <row r="5" spans="1:3" x14ac:dyDescent="0.2">
      <c r="A5" s="48" t="s">
        <v>125</v>
      </c>
      <c r="B5" s="52" t="s">
        <v>108</v>
      </c>
      <c r="C5" s="57" t="s">
        <v>109</v>
      </c>
    </row>
    <row r="6" spans="1:3" x14ac:dyDescent="0.2">
      <c r="A6" s="4" t="s">
        <v>110</v>
      </c>
      <c r="B6" s="51" t="s">
        <v>111</v>
      </c>
      <c r="C6" s="56" t="s">
        <v>112</v>
      </c>
    </row>
    <row r="7" spans="1:3" x14ac:dyDescent="0.2">
      <c r="A7" s="29" t="s">
        <v>126</v>
      </c>
      <c r="B7" s="52" t="s">
        <v>108</v>
      </c>
      <c r="C7" s="57"/>
    </row>
    <row r="8" spans="1:3" x14ac:dyDescent="0.2">
      <c r="A8" s="4" t="s">
        <v>113</v>
      </c>
      <c r="B8" s="51" t="s">
        <v>114</v>
      </c>
      <c r="C8" s="56" t="s">
        <v>39</v>
      </c>
    </row>
    <row r="9" spans="1:3" x14ac:dyDescent="0.2">
      <c r="A9" s="29" t="s">
        <v>127</v>
      </c>
      <c r="B9" s="52" t="s">
        <v>115</v>
      </c>
      <c r="C9" s="57" t="s">
        <v>116</v>
      </c>
    </row>
    <row r="10" spans="1:3" x14ac:dyDescent="0.2">
      <c r="A10" s="12" t="s">
        <v>117</v>
      </c>
      <c r="B10" s="53" t="s">
        <v>118</v>
      </c>
      <c r="C10" s="58" t="s">
        <v>119</v>
      </c>
    </row>
    <row r="11" spans="1:3" x14ac:dyDescent="0.2">
      <c r="A11" s="6" t="s">
        <v>120</v>
      </c>
      <c r="B11" s="50" t="s">
        <v>115</v>
      </c>
      <c r="C11" s="55" t="s">
        <v>121</v>
      </c>
    </row>
    <row r="13" spans="1:3" x14ac:dyDescent="0.2">
      <c r="A13" s="78" t="s">
        <v>122</v>
      </c>
      <c r="B13" s="63"/>
      <c r="C13" s="63"/>
    </row>
    <row r="14" spans="1:3" ht="40" customHeight="1" x14ac:dyDescent="0.2">
      <c r="A14" s="77" t="s">
        <v>123</v>
      </c>
      <c r="B14" s="63"/>
      <c r="C14" s="63"/>
    </row>
  </sheetData>
  <mergeCells count="3">
    <mergeCell ref="A1:C1"/>
    <mergeCell ref="A14:C14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DCF Model</vt:lpstr>
      <vt:lpstr>Sensitivity</vt:lpstr>
      <vt:lpstr>Valuation 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louis</cp:lastModifiedBy>
  <dcterms:created xsi:type="dcterms:W3CDTF">2026-04-09T14:49:28Z</dcterms:created>
  <dcterms:modified xsi:type="dcterms:W3CDTF">2026-04-09T15:10:34Z</dcterms:modified>
</cp:coreProperties>
</file>